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ahindra_Product_Mix" sheetId="2" state="visible" r:id="rId4"/>
    <sheet name="Bajaj_Segments" sheetId="3" state="visible" r:id="rId5"/>
    <sheet name="Product_Tiers" sheetId="4" state="visible" r:id="rId6"/>
    <sheet name="Secured_Comparis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<sst xmlns="http://schemas.openxmlformats.org/spreadsheetml/2006/main" count="150" uniqueCount="108">
  <si>
    <t xml:space="preserve">Consolidated segment data: Bajaj Finance and Mahindra Finance (FY2016-17 to FY2025-26)</t>
  </si>
  <si>
    <t xml:space="preserve">Scope: consolidated-level segment data only. Bajaj rows are the consolidated rows of master_nbfc_dataset_full.csv (standalone rows excluded). Mahindra data are the consolidated Loans-note product split from Mahindra_Finance_Consolidated_10yr_Dataset.xlsx (sheet Segment_AUM).</t>
  </si>
  <si>
    <t xml:space="preserve">Mahindra vehicle-wise split (UV, cars, tractors, CV, pre-owned) exists only for the standalone company, so it is excluded.</t>
  </si>
  <si>
    <t xml:space="preserve">Units: Rs crore; years end 31 March. Percentages are stored as fractions and displayed as %.</t>
  </si>
  <si>
    <t xml:space="preserve">Colour code: blue = value copied from the source files; black = formula; green = link to another sheet.</t>
  </si>
  <si>
    <t xml:space="preserve">What each segment source offers</t>
  </si>
  <si>
    <t xml:space="preserve">Mahindra: product-level AUM (retail, housing, SME, bills, trade advances, finance lease, other) for FY2017-18 to FY2025-26. FY2016-17 product split was not extracted in the source (left blank).</t>
  </si>
  <si>
    <t xml:space="preserve">Bajaj: the source provides only a high / medium / low risk-tier share and a secured / unsecured share of the book, not product-level amounts. Rupee amounts in Bajaj_Segments are derived (share x AUM) and marked as such.</t>
  </si>
  <si>
    <t xml:space="preserve">Comparability warnings</t>
  </si>
  <si>
    <t xml:space="preserve">1. Bajaj segment taxonomy changes: FY17-FY18 = 5 segments (taxonomy 0, flagged not comparable); FY19-FY22 = 10 (A); FY23-FY24 = 11 (B); FY25-FY26 = 14 (C). The large jump in Bajaj secured share between FY18 and FY19 reflects the reclassification, not a business change. Use FY19 onward for trends.</t>
  </si>
  <si>
    <t xml:space="preserve">2. The source file does not document how Bajaj risk tiers or the secured / unsecured split are defined, so treat them as the dataset compiler's classification, not a company-reported figure.</t>
  </si>
  <si>
    <t xml:space="preserve">3. Mahindra secured = retail + housing finance + finance lease, following the source file's own product classification (Product_Tiers sheet). SME + bills are labelled "mixed" and trade advances "mostly unsecured" there; they are grouped as unsecured / mixed here.</t>
  </si>
  <si>
    <t xml:space="preserve">4. Mahindra FY2017-18 "other" includes retained interest under assignment; finance lease is shown separately only from FY2021-22 (earlier it sits inside other categories). Product definitions may shift between years (source note).</t>
  </si>
  <si>
    <t xml:space="preserve">5. Mahindra Total (calc) is checked against the master-dataset AUM in column K of Mahindra_Product_Mix; differences are rounding.</t>
  </si>
  <si>
    <t xml:space="preserve">Mahindra Finance: consolidated gross loans by product (Rs crore) and share of book</t>
  </si>
  <si>
    <t xml:space="preserve">Source: Mahindra Finance annual reports, consolidated Loans note, via Segment_AUM sheet of the provided file. Housing finance = Mahindra Rural Housing Finance (subsidiary).</t>
  </si>
  <si>
    <t xml:space="preserve">Financial year</t>
  </si>
  <si>
    <t xml:space="preserve">Retail loans</t>
  </si>
  <si>
    <t xml:space="preserve">Housing finance</t>
  </si>
  <si>
    <t xml:space="preserve">SME financing</t>
  </si>
  <si>
    <t xml:space="preserve">Bills of exchange</t>
  </si>
  <si>
    <t xml:space="preserve">Trade advances</t>
  </si>
  <si>
    <t xml:space="preserve">Finance lease</t>
  </si>
  <si>
    <t xml:space="preserve">Inter-corporate deposits &amp; other</t>
  </si>
  <si>
    <t xml:space="preserve">Total (Rs Cr)</t>
  </si>
  <si>
    <t xml:space="preserve">AUM per master dataset (Rs Cr)</t>
  </si>
  <si>
    <t xml:space="preserve">Difference (total - AUM)</t>
  </si>
  <si>
    <t xml:space="preserve">Retail %</t>
  </si>
  <si>
    <t xml:space="preserve">Housing %</t>
  </si>
  <si>
    <t xml:space="preserve">SME + bills %</t>
  </si>
  <si>
    <t xml:space="preserve">Trade advances %</t>
  </si>
  <si>
    <t xml:space="preserve">Finance lease %</t>
  </si>
  <si>
    <t xml:space="preserve">Secured % (retail + housing + lease)</t>
  </si>
  <si>
    <t xml:space="preserve">Unsecured / mixed %</t>
  </si>
  <si>
    <t xml:space="preserve">Source</t>
  </si>
  <si>
    <t xml:space="preserve">FY2016-17</t>
  </si>
  <si>
    <t xml:space="preserve">AR 2016-17 – product split not extracted (IGAAP notes show loans against assets / trade advances)</t>
  </si>
  <si>
    <t xml:space="preserve">FY2017-18</t>
  </si>
  <si>
    <t xml:space="preserve">AR 2018-19 (FY18 Ind AS comparatives) note 7 p.268</t>
  </si>
  <si>
    <t xml:space="preserve">FY2018-19</t>
  </si>
  <si>
    <t xml:space="preserve">AR 2018-19 note 7 p.268</t>
  </si>
  <si>
    <t xml:space="preserve">FY2019-20</t>
  </si>
  <si>
    <t xml:space="preserve">AR 2019-20 note 7 p.295</t>
  </si>
  <si>
    <t xml:space="preserve">FY2020-21</t>
  </si>
  <si>
    <t xml:space="preserve">IAR 2020-21 note 7 p.353</t>
  </si>
  <si>
    <t xml:space="preserve">FY2021-22</t>
  </si>
  <si>
    <t xml:space="preserve">IR 2021-22 note 7 p.347</t>
  </si>
  <si>
    <t xml:space="preserve">FY2022-23</t>
  </si>
  <si>
    <t xml:space="preserve">IR 2022-23 note 7 p.437</t>
  </si>
  <si>
    <t xml:space="preserve">FY2023-24</t>
  </si>
  <si>
    <t xml:space="preserve">IR 2023-24 note 6 p.420</t>
  </si>
  <si>
    <t xml:space="preserve">FY2024-25</t>
  </si>
  <si>
    <t xml:space="preserve">IR 2025-26 (FY25 comparatives) note 7 p.474</t>
  </si>
  <si>
    <t xml:space="preserve">FY2025-26</t>
  </si>
  <si>
    <t xml:space="preserve">IR 2025-26 note 7 p.474</t>
  </si>
  <si>
    <t xml:space="preserve">FY2016-17: product split not extracted in the source file (IGAAP notes show loans against assets / trade advances), so product columns are blank.</t>
  </si>
  <si>
    <t xml:space="preserve">Bajaj Finance: consolidated segment mix (risk tier and secured / unsecured share of book)</t>
  </si>
  <si>
    <t xml:space="preserve">Source: master_nbfc_dataset_full.csv, consolidated rows only. Rupee columns M-Q are derived (share x AUM) and approximate; tier definitions are not documented in the source.</t>
  </si>
  <si>
    <t xml:space="preserve">Consolidated AUM (Rs Cr)</t>
  </si>
  <si>
    <t xml:space="preserve">Segment taxonomy</t>
  </si>
  <si>
    <t xml:space="preserve">No. of segments</t>
  </si>
  <si>
    <t xml:space="preserve">Comparable with later years?</t>
  </si>
  <si>
    <t xml:space="preserve">High-risk tier %</t>
  </si>
  <si>
    <t xml:space="preserve">Medium-risk tier %</t>
  </si>
  <si>
    <t xml:space="preserve">Low-risk tier %</t>
  </si>
  <si>
    <t xml:space="preserve">Tier check (should be 100%)</t>
  </si>
  <si>
    <t xml:space="preserve">Secured %</t>
  </si>
  <si>
    <t xml:space="preserve">Unsecured %</t>
  </si>
  <si>
    <t xml:space="preserve">Secured + unsecured check</t>
  </si>
  <si>
    <t xml:space="preserve">High-risk tier (Rs Cr, derived)</t>
  </si>
  <si>
    <t xml:space="preserve">Medium-risk tier (Rs Cr, derived)</t>
  </si>
  <si>
    <t xml:space="preserve">Low-risk tier (Rs Cr, derived)</t>
  </si>
  <si>
    <t xml:space="preserve">Secured (Rs Cr, derived)</t>
  </si>
  <si>
    <t xml:space="preserve">Unsecured (Rs Cr, derived)</t>
  </si>
  <si>
    <t xml:space="preserve">Note</t>
  </si>
  <si>
    <t xml:space="preserve">0</t>
  </si>
  <si>
    <t xml:space="preserve">No</t>
  </si>
  <si>
    <t xml:space="preserve">Not comparable: 5-segment taxonomy; excluded from trends</t>
  </si>
  <si>
    <t xml:space="preserve">A</t>
  </si>
  <si>
    <t xml:space="preserve">Yes</t>
  </si>
  <si>
    <t xml:space="preserve">B</t>
  </si>
  <si>
    <t xml:space="preserve">C</t>
  </si>
  <si>
    <t xml:space="preserve">Mahindra product classification (source file analyst view)</t>
  </si>
  <si>
    <t xml:space="preserve">Product</t>
  </si>
  <si>
    <t xml:space="preserve">Secured / unsecured</t>
  </si>
  <si>
    <t xml:space="preserve">Risk tier</t>
  </si>
  <si>
    <t xml:space="preserve">Why</t>
  </si>
  <si>
    <t xml:space="preserve">Secured (vehicle)</t>
  </si>
  <si>
    <t xml:space="preserve">Medium–High</t>
  </si>
  <si>
    <t xml:space="preserve">Rural/semi-urban vehicle, tractor and pre-owned loans; farm-income dependence</t>
  </si>
  <si>
    <t xml:space="preserve">Secured (property)</t>
  </si>
  <si>
    <t xml:space="preserve">High</t>
  </si>
  <si>
    <t xml:space="preserve">Rural affordable housing; highest Stage 3 ratio of the group's portfolios</t>
  </si>
  <si>
    <t xml:space="preserve">SME financing + bills</t>
  </si>
  <si>
    <t xml:space="preserve">Mixed</t>
  </si>
  <si>
    <t xml:space="preserve">Small-business cash flows; bill discounting short tenor</t>
  </si>
  <si>
    <t xml:space="preserve">Mostly unsecured</t>
  </si>
  <si>
    <t xml:space="preserve">Low–Medium</t>
  </si>
  <si>
    <t xml:space="preserve">Short-term dealer/channel finance (~90 days)</t>
  </si>
  <si>
    <t xml:space="preserve">Secured (asset)</t>
  </si>
  <si>
    <t xml:space="preserve">Medium</t>
  </si>
  <si>
    <t xml:space="preserve">Vehicle leasing</t>
  </si>
  <si>
    <t xml:space="preserve">Bajaj tiers: the source gives only high / medium / low shares without product definitions.</t>
  </si>
  <si>
    <t xml:space="preserve">Secured share of book: Bajaj vs Mahindra (consolidated)</t>
  </si>
  <si>
    <t xml:space="preserve">Bajaj secured % (comparable years only)</t>
  </si>
  <si>
    <t xml:space="preserve">Mahindra secured %</t>
  </si>
  <si>
    <t xml:space="preserve">Gap (Mahindra - Bajaj)</t>
  </si>
  <si>
    <t xml:space="preserve">Bajaj FY17-FY18 blanked (taxonomy not comparable). Mahindra FY17 blank (product split not extracted).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</si>
</sst>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\(#,##0.00\);\-"/>
    <numFmt numFmtId="166" formatCode="#,##0.00"/>
    <numFmt numFmtId="167" formatCode="0.00"/>
    <numFmt numFmtId="168" formatCode="0.0%"/>
    <numFmt numFmtId="169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A254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A254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25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3.8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5</v>
      </c>
    </row>
    <row r="10" customFormat="false" ht="23.85" hidden="false" customHeight="false" outlineLevel="0" collapsed="false">
      <c r="A10" s="2" t="s">
        <v>6</v>
      </c>
    </row>
    <row r="11" customFormat="false" ht="23.8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8</v>
      </c>
    </row>
    <row r="14" customFormat="false" ht="23.85" hidden="false" customHeight="false" outlineLevel="0" collapsed="false">
      <c r="A14" s="2" t="s">
        <v>9</v>
      </c>
    </row>
    <row r="15" customFormat="false" ht="23.85" hidden="false" customHeight="false" outlineLevel="0" collapsed="false">
      <c r="A15" s="2" t="s">
        <v>10</v>
      </c>
    </row>
    <row r="16" customFormat="false" ht="23.85" hidden="false" customHeight="false" outlineLevel="0" collapsed="false">
      <c r="A16" s="2" t="s">
        <v>11</v>
      </c>
    </row>
    <row r="17" customFormat="false" ht="23.8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14"/>
    <col collapsed="false" customWidth="true" hidden="false" outlineLevel="0" max="19" min="19" style="0" width="70"/>
  </cols>
  <sheetData>
    <row r="1" customFormat="false" ht="16.15" hidden="false" customHeight="false" outlineLevel="0" collapsed="false">
      <c r="A1" s="4" t="s">
        <v>14</v>
      </c>
    </row>
    <row r="2" customFormat="false" ht="15" hidden="false" customHeight="false" outlineLevel="0" collapsed="false">
      <c r="A2" s="5" t="s">
        <v>15</v>
      </c>
    </row>
    <row r="4" customFormat="false" ht="43.5" hidden="false" customHeight="true" outlineLevel="0" collapsed="false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26</v>
      </c>
      <c r="L4" s="6" t="s">
        <v>27</v>
      </c>
      <c r="M4" s="6" t="s">
        <v>28</v>
      </c>
      <c r="N4" s="6" t="s">
        <v>29</v>
      </c>
      <c r="O4" s="6" t="s">
        <v>30</v>
      </c>
      <c r="P4" s="6" t="s">
        <v>31</v>
      </c>
      <c r="Q4" s="6" t="s">
        <v>32</v>
      </c>
      <c r="R4" s="6" t="s">
        <v>33</v>
      </c>
      <c r="S4" s="6" t="s">
        <v>34</v>
      </c>
    </row>
    <row r="5" customFormat="false" ht="15" hidden="false" customHeight="false" outlineLevel="0" collapsed="false">
      <c r="A5" s="7" t="s">
        <v>35</v>
      </c>
      <c r="B5" s="8"/>
      <c r="C5" s="8"/>
      <c r="D5" s="8"/>
      <c r="E5" s="8"/>
      <c r="F5" s="8"/>
      <c r="G5" s="8"/>
      <c r="H5" s="8"/>
      <c r="I5" s="9" t="str">
        <f aca="false">IF(COUNT(B5:H5)=0,"",SUM(B5:H5))</f>
        <v/>
      </c>
      <c r="J5" s="10" t="n">
        <v>47994.47</v>
      </c>
      <c r="K5" s="11" t="str">
        <f aca="false">IF(I5="","",I5-J5)</f>
        <v/>
      </c>
      <c r="L5" s="12" t="str">
        <f aca="false">IF($I5="","",B5/$I5)</f>
        <v/>
      </c>
      <c r="M5" s="12" t="str">
        <f aca="false">IF($I5="","",C5/$I5)</f>
        <v/>
      </c>
      <c r="N5" s="12" t="str">
        <f aca="false">IF($I5="","",(D5+E5)/$I5)</f>
        <v/>
      </c>
      <c r="O5" s="12" t="str">
        <f aca="false">IF($I5="","",F5/$I5)</f>
        <v/>
      </c>
      <c r="P5" s="12" t="str">
        <f aca="false">IF($I5="","",G5/$I5)</f>
        <v/>
      </c>
      <c r="Q5" s="12" t="str">
        <f aca="false">IF($I5="","",(B5+C5+G5)/$I5)</f>
        <v/>
      </c>
      <c r="R5" s="12" t="str">
        <f aca="false">IF(Q5="","",1-Q5)</f>
        <v/>
      </c>
      <c r="S5" s="13" t="s">
        <v>36</v>
      </c>
    </row>
    <row r="6" customFormat="false" ht="15" hidden="false" customHeight="false" outlineLevel="0" collapsed="false">
      <c r="A6" s="7" t="s">
        <v>37</v>
      </c>
      <c r="B6" s="8" t="n">
        <v>48169.6</v>
      </c>
      <c r="C6" s="8" t="n">
        <v>6312.17</v>
      </c>
      <c r="D6" s="8" t="n">
        <v>1360.49</v>
      </c>
      <c r="E6" s="8" t="n">
        <v>550.32</v>
      </c>
      <c r="F6" s="8" t="n">
        <v>1437.27</v>
      </c>
      <c r="G6" s="8" t="n">
        <v>0</v>
      </c>
      <c r="H6" s="8" t="n">
        <v>2.67</v>
      </c>
      <c r="I6" s="9" t="n">
        <f aca="false">IF(COUNT(B6:H6)=0,"",SUM(B6:H6))</f>
        <v>57832.52</v>
      </c>
      <c r="J6" s="10" t="n">
        <v>57832.53</v>
      </c>
      <c r="K6" s="11" t="n">
        <f aca="false">IF(I6="","",I6-J6)</f>
        <v>-0.0100000000020373</v>
      </c>
      <c r="L6" s="12" t="n">
        <f aca="false">IF($I6="","",B6/$I6)</f>
        <v>0.832915460021455</v>
      </c>
      <c r="M6" s="12" t="n">
        <f aca="false">IF($I6="","",C6/$I6)</f>
        <v>0.109145684815395</v>
      </c>
      <c r="N6" s="12" t="n">
        <f aca="false">IF($I6="","",(D6+E6)/$I6)</f>
        <v>0.0330404070235916</v>
      </c>
      <c r="O6" s="12" t="n">
        <f aca="false">IF($I6="","",F6/$I6)</f>
        <v>0.0248522803433086</v>
      </c>
      <c r="P6" s="12" t="n">
        <f aca="false">IF($I6="","",G6/$I6)</f>
        <v>0</v>
      </c>
      <c r="Q6" s="12" t="n">
        <f aca="false">IF($I6="","",(B6+C6+G6)/$I6)</f>
        <v>0.94206114483685</v>
      </c>
      <c r="R6" s="12" t="n">
        <f aca="false">IF(Q6="","",1-Q6)</f>
        <v>0.0579388551631505</v>
      </c>
      <c r="S6" s="13" t="s">
        <v>38</v>
      </c>
    </row>
    <row r="7" customFormat="false" ht="15" hidden="false" customHeight="false" outlineLevel="0" collapsed="false">
      <c r="A7" s="7" t="s">
        <v>39</v>
      </c>
      <c r="B7" s="8" t="n">
        <v>58741.47</v>
      </c>
      <c r="C7" s="8" t="n">
        <v>8048.75</v>
      </c>
      <c r="D7" s="8" t="n">
        <v>1880.53</v>
      </c>
      <c r="E7" s="8" t="n">
        <v>615.35</v>
      </c>
      <c r="F7" s="8" t="n">
        <v>1874.31</v>
      </c>
      <c r="G7" s="8" t="n">
        <v>0</v>
      </c>
      <c r="H7" s="8" t="n">
        <v>1.12</v>
      </c>
      <c r="I7" s="9" t="n">
        <f aca="false">IF(COUNT(B7:H7)=0,"",SUM(B7:H7))</f>
        <v>71161.53</v>
      </c>
      <c r="J7" s="10" t="n">
        <v>71161.53</v>
      </c>
      <c r="K7" s="11" t="n">
        <f aca="false">IF(I7="","",I7-J7)</f>
        <v>0</v>
      </c>
      <c r="L7" s="12" t="n">
        <f aca="false">IF($I7="","",B7/$I7)</f>
        <v>0.825466653120021</v>
      </c>
      <c r="M7" s="12" t="n">
        <f aca="false">IF($I7="","",C7/$I7)</f>
        <v>0.11310535341216</v>
      </c>
      <c r="N7" s="12" t="n">
        <f aca="false">IF($I7="","",(D7+E7)/$I7)</f>
        <v>0.0350734448795578</v>
      </c>
      <c r="O7" s="12" t="n">
        <f aca="false">IF($I7="","",F7/$I7)</f>
        <v>0.0263388097473452</v>
      </c>
      <c r="P7" s="12" t="n">
        <f aca="false">IF($I7="","",G7/$I7)</f>
        <v>0</v>
      </c>
      <c r="Q7" s="12" t="n">
        <f aca="false">IF($I7="","",(B7+C7+G7)/$I7)</f>
        <v>0.938572006532181</v>
      </c>
      <c r="R7" s="12" t="n">
        <f aca="false">IF(Q7="","",1-Q7)</f>
        <v>0.0614279934678189</v>
      </c>
      <c r="S7" s="13" t="s">
        <v>40</v>
      </c>
    </row>
    <row r="8" customFormat="false" ht="15" hidden="false" customHeight="false" outlineLevel="0" collapsed="false">
      <c r="A8" s="7" t="s">
        <v>41</v>
      </c>
      <c r="B8" s="8" t="n">
        <v>64439.78</v>
      </c>
      <c r="C8" s="8" t="n">
        <v>8443.89</v>
      </c>
      <c r="D8" s="8" t="n">
        <v>1864.41</v>
      </c>
      <c r="E8" s="8" t="n">
        <v>531.66</v>
      </c>
      <c r="F8" s="8" t="n">
        <v>1239.35</v>
      </c>
      <c r="G8" s="8" t="n">
        <v>0</v>
      </c>
      <c r="H8" s="8" t="n">
        <v>1.23</v>
      </c>
      <c r="I8" s="9" t="n">
        <f aca="false">IF(COUNT(B8:H8)=0,"",SUM(B8:H8))</f>
        <v>76520.32</v>
      </c>
      <c r="J8" s="10" t="n">
        <v>76520.33</v>
      </c>
      <c r="K8" s="11" t="n">
        <f aca="false">IF(I8="","",I8-J8)</f>
        <v>-0.0100000000093132</v>
      </c>
      <c r="L8" s="12" t="n">
        <f aca="false">IF($I8="","",B8/$I8)</f>
        <v>0.842126378980119</v>
      </c>
      <c r="M8" s="12" t="n">
        <f aca="false">IF($I8="","",C8/$I8)</f>
        <v>0.110348336232781</v>
      </c>
      <c r="N8" s="12" t="n">
        <f aca="false">IF($I8="","",(D8+E8)/$I8)</f>
        <v>0.0313128591202964</v>
      </c>
      <c r="O8" s="12" t="n">
        <f aca="false">IF($I8="","",F8/$I8)</f>
        <v>0.0161963515050643</v>
      </c>
      <c r="P8" s="12" t="n">
        <f aca="false">IF($I8="","",G8/$I8)</f>
        <v>0</v>
      </c>
      <c r="Q8" s="12" t="n">
        <f aca="false">IF($I8="","",(B8+C8+G8)/$I8)</f>
        <v>0.9524747152129</v>
      </c>
      <c r="R8" s="12" t="n">
        <f aca="false">IF(Q8="","",1-Q8)</f>
        <v>0.0475252847870996</v>
      </c>
      <c r="S8" s="13" t="s">
        <v>42</v>
      </c>
    </row>
    <row r="9" customFormat="false" ht="15" hidden="false" customHeight="false" outlineLevel="0" collapsed="false">
      <c r="A9" s="7" t="s">
        <v>43</v>
      </c>
      <c r="B9" s="8" t="n">
        <v>61638.86</v>
      </c>
      <c r="C9" s="8" t="n">
        <v>7646.71</v>
      </c>
      <c r="D9" s="8" t="n">
        <v>1014.73</v>
      </c>
      <c r="E9" s="8" t="n">
        <v>743.1</v>
      </c>
      <c r="F9" s="8" t="n">
        <v>1194.98</v>
      </c>
      <c r="G9" s="8" t="n">
        <v>0</v>
      </c>
      <c r="H9" s="8" t="n">
        <v>1.19</v>
      </c>
      <c r="I9" s="9" t="n">
        <f aca="false">IF(COUNT(B9:H9)=0,"",SUM(B9:H9))</f>
        <v>72239.57</v>
      </c>
      <c r="J9" s="10" t="n">
        <v>72239.57</v>
      </c>
      <c r="K9" s="11" t="n">
        <f aca="false">IF(I9="","",I9-J9)</f>
        <v>0</v>
      </c>
      <c r="L9" s="12" t="n">
        <f aca="false">IF($I9="","",B9/$I9)</f>
        <v>0.853256186325583</v>
      </c>
      <c r="M9" s="12" t="n">
        <f aca="false">IF($I9="","",C9/$I9)</f>
        <v>0.105852097403127</v>
      </c>
      <c r="N9" s="12" t="n">
        <f aca="false">IF($I9="","",(D9+E9)/$I9)</f>
        <v>0.0243333397471773</v>
      </c>
      <c r="O9" s="12" t="n">
        <f aca="false">IF($I9="","",F9/$I9)</f>
        <v>0.0165419035578423</v>
      </c>
      <c r="P9" s="12" t="n">
        <f aca="false">IF($I9="","",G9/$I9)</f>
        <v>0</v>
      </c>
      <c r="Q9" s="12" t="n">
        <f aca="false">IF($I9="","",(B9+C9+G9)/$I9)</f>
        <v>0.95910828372871</v>
      </c>
      <c r="R9" s="12" t="n">
        <f aca="false">IF(Q9="","",1-Q9)</f>
        <v>0.0408917162712901</v>
      </c>
      <c r="S9" s="13" t="s">
        <v>44</v>
      </c>
    </row>
    <row r="10" customFormat="false" ht="15" hidden="false" customHeight="false" outlineLevel="0" collapsed="false">
      <c r="A10" s="7" t="s">
        <v>45</v>
      </c>
      <c r="B10" s="8" t="n">
        <v>61066.67</v>
      </c>
      <c r="C10" s="8" t="n">
        <v>7603.45</v>
      </c>
      <c r="D10" s="8" t="n">
        <v>1196.15</v>
      </c>
      <c r="E10" s="8" t="n">
        <v>944.33</v>
      </c>
      <c r="F10" s="8" t="n">
        <v>1807.42</v>
      </c>
      <c r="G10" s="8" t="n">
        <v>122.88</v>
      </c>
      <c r="H10" s="8" t="n">
        <v>0.17</v>
      </c>
      <c r="I10" s="9" t="n">
        <f aca="false">IF(COUNT(B10:H10)=0,"",SUM(B10:H10))</f>
        <v>72741.07</v>
      </c>
      <c r="J10" s="10" t="n">
        <v>72741.07</v>
      </c>
      <c r="K10" s="11" t="n">
        <f aca="false">IF(I10="","",I10-J10)</f>
        <v>0</v>
      </c>
      <c r="L10" s="12" t="n">
        <f aca="false">IF($I10="","",B10/$I10)</f>
        <v>0.839507447443377</v>
      </c>
      <c r="M10" s="12" t="n">
        <f aca="false">IF($I10="","",C10/$I10)</f>
        <v>0.104527607306299</v>
      </c>
      <c r="N10" s="12" t="n">
        <f aca="false">IF($I10="","",(D10+E10)/$I10)</f>
        <v>0.0294260175166519</v>
      </c>
      <c r="O10" s="12" t="n">
        <f aca="false">IF($I10="","",F10/$I10)</f>
        <v>0.0248473111544826</v>
      </c>
      <c r="P10" s="12" t="n">
        <f aca="false">IF($I10="","",G10/$I10)</f>
        <v>0.00168927952255858</v>
      </c>
      <c r="Q10" s="12" t="n">
        <f aca="false">IF($I10="","",(B10+C10+G10)/$I10)</f>
        <v>0.945724334272235</v>
      </c>
      <c r="R10" s="12" t="n">
        <f aca="false">IF(Q10="","",1-Q10)</f>
        <v>0.0542756657277655</v>
      </c>
      <c r="S10" s="13" t="s">
        <v>46</v>
      </c>
    </row>
    <row r="11" customFormat="false" ht="15" hidden="false" customHeight="false" outlineLevel="0" collapsed="false">
      <c r="A11" s="7" t="s">
        <v>47</v>
      </c>
      <c r="B11" s="8" t="n">
        <v>75687.27</v>
      </c>
      <c r="C11" s="8" t="n">
        <v>7199.93</v>
      </c>
      <c r="D11" s="8" t="n">
        <v>3481.07</v>
      </c>
      <c r="E11" s="8" t="n">
        <v>975.61</v>
      </c>
      <c r="F11" s="8" t="n">
        <v>2540.42</v>
      </c>
      <c r="G11" s="8" t="n">
        <v>220.95</v>
      </c>
      <c r="H11" s="8" t="n">
        <v>0.11</v>
      </c>
      <c r="I11" s="9" t="n">
        <f aca="false">IF(COUNT(B11:H11)=0,"",SUM(B11:H11))</f>
        <v>90105.36</v>
      </c>
      <c r="J11" s="10" t="n">
        <v>90105.36</v>
      </c>
      <c r="K11" s="11" t="n">
        <f aca="false">IF(I11="","",I11-J11)</f>
        <v>0</v>
      </c>
      <c r="L11" s="12" t="n">
        <f aca="false">IF($I11="","",B11/$I11)</f>
        <v>0.839986322678251</v>
      </c>
      <c r="M11" s="12" t="n">
        <f aca="false">IF($I11="","",C11/$I11)</f>
        <v>0.0799056793069802</v>
      </c>
      <c r="N11" s="12" t="n">
        <f aca="false">IF($I11="","",(D11+E11)/$I11)</f>
        <v>0.0494607645982437</v>
      </c>
      <c r="O11" s="12" t="n">
        <f aca="false">IF($I11="","",F11/$I11)</f>
        <v>0.0281938832495647</v>
      </c>
      <c r="P11" s="12" t="n">
        <f aca="false">IF($I11="","",G11/$I11)</f>
        <v>0.00245212937387964</v>
      </c>
      <c r="Q11" s="12" t="n">
        <f aca="false">IF($I11="","",(B11+C11+G11)/$I11)</f>
        <v>0.922344131359111</v>
      </c>
      <c r="R11" s="12" t="n">
        <f aca="false">IF(Q11="","",1-Q11)</f>
        <v>0.0776558686408888</v>
      </c>
      <c r="S11" s="13" t="s">
        <v>48</v>
      </c>
    </row>
    <row r="12" customFormat="false" ht="15" hidden="false" customHeight="false" outlineLevel="0" collapsed="false">
      <c r="A12" s="7" t="s">
        <v>49</v>
      </c>
      <c r="B12" s="8" t="n">
        <v>94410.63</v>
      </c>
      <c r="C12" s="8" t="n">
        <v>7209.08</v>
      </c>
      <c r="D12" s="8" t="n">
        <v>3757.67</v>
      </c>
      <c r="E12" s="8" t="n">
        <v>1054.74</v>
      </c>
      <c r="F12" s="8" t="n">
        <v>2879.1</v>
      </c>
      <c r="G12" s="8" t="n">
        <v>714.52</v>
      </c>
      <c r="H12" s="8" t="n">
        <v>0.08</v>
      </c>
      <c r="I12" s="9" t="n">
        <f aca="false">IF(COUNT(B12:H12)=0,"",SUM(B12:H12))</f>
        <v>110025.82</v>
      </c>
      <c r="J12" s="10" t="n">
        <v>110025.82</v>
      </c>
      <c r="K12" s="11" t="n">
        <f aca="false">IF(I12="","",I12-J12)</f>
        <v>0</v>
      </c>
      <c r="L12" s="12" t="n">
        <f aca="false">IF($I12="","",B12/$I12)</f>
        <v>0.858077040461957</v>
      </c>
      <c r="M12" s="12" t="n">
        <f aca="false">IF($I12="","",C12/$I12)</f>
        <v>0.065521711176522</v>
      </c>
      <c r="N12" s="12" t="n">
        <f aca="false">IF($I12="","",(D12+E12)/$I12)</f>
        <v>0.0437389151019279</v>
      </c>
      <c r="O12" s="12" t="n">
        <f aca="false">IF($I12="","",F12/$I12)</f>
        <v>0.026167494139103</v>
      </c>
      <c r="P12" s="12" t="n">
        <f aca="false">IF($I12="","",G12/$I12)</f>
        <v>0.00649411201843349</v>
      </c>
      <c r="Q12" s="12" t="n">
        <f aca="false">IF($I12="","",(B12+C12+G12)/$I12)</f>
        <v>0.930092863656913</v>
      </c>
      <c r="R12" s="12" t="n">
        <f aca="false">IF(Q12="","",1-Q12)</f>
        <v>0.0699071363430874</v>
      </c>
      <c r="S12" s="13" t="s">
        <v>50</v>
      </c>
    </row>
    <row r="13" customFormat="false" ht="15" hidden="false" customHeight="false" outlineLevel="0" collapsed="false">
      <c r="A13" s="7" t="s">
        <v>51</v>
      </c>
      <c r="B13" s="8" t="n">
        <v>109650.3</v>
      </c>
      <c r="C13" s="8" t="n">
        <v>7503.09</v>
      </c>
      <c r="D13" s="8" t="n">
        <v>4825.83</v>
      </c>
      <c r="E13" s="8" t="n">
        <v>1322.71</v>
      </c>
      <c r="F13" s="8" t="n">
        <v>3199.2</v>
      </c>
      <c r="G13" s="8" t="n">
        <v>1087.23</v>
      </c>
      <c r="H13" s="8" t="n">
        <v>0.05</v>
      </c>
      <c r="I13" s="9" t="n">
        <f aca="false">IF(COUNT(B13:H13)=0,"",SUM(B13:H13))</f>
        <v>127588.41</v>
      </c>
      <c r="J13" s="10" t="n">
        <v>127588.41</v>
      </c>
      <c r="K13" s="11" t="n">
        <f aca="false">IF(I13="","",I13-J13)</f>
        <v>0</v>
      </c>
      <c r="L13" s="12" t="n">
        <f aca="false">IF($I13="","",B13/$I13)</f>
        <v>0.859406430411665</v>
      </c>
      <c r="M13" s="12" t="n">
        <f aca="false">IF($I13="","",C13/$I13)</f>
        <v>0.0588069872490769</v>
      </c>
      <c r="N13" s="12" t="n">
        <f aca="false">IF($I13="","",(D13+E13)/$I13)</f>
        <v>0.0481904273279995</v>
      </c>
      <c r="O13" s="12" t="n">
        <f aca="false">IF($I13="","",F13/$I13)</f>
        <v>0.0250743778372973</v>
      </c>
      <c r="P13" s="12" t="n">
        <f aca="false">IF($I13="","",G13/$I13)</f>
        <v>0.00852138528883619</v>
      </c>
      <c r="Q13" s="12" t="n">
        <f aca="false">IF($I13="","",(B13+C13+G13)/$I13)</f>
        <v>0.926734802949578</v>
      </c>
      <c r="R13" s="12" t="n">
        <f aca="false">IF(Q13="","",1-Q13)</f>
        <v>0.0732651970504218</v>
      </c>
      <c r="S13" s="13" t="s">
        <v>52</v>
      </c>
    </row>
    <row r="14" customFormat="false" ht="15" hidden="false" customHeight="false" outlineLevel="0" collapsed="false">
      <c r="A14" s="7" t="s">
        <v>53</v>
      </c>
      <c r="B14" s="8" t="n">
        <v>122410.36</v>
      </c>
      <c r="C14" s="8" t="n">
        <v>8512.15</v>
      </c>
      <c r="D14" s="8" t="n">
        <v>5740.61</v>
      </c>
      <c r="E14" s="8" t="n">
        <v>2349.51</v>
      </c>
      <c r="F14" s="8" t="n">
        <v>3163.21</v>
      </c>
      <c r="G14" s="8" t="n">
        <v>1229</v>
      </c>
      <c r="H14" s="8" t="n">
        <v>0.3</v>
      </c>
      <c r="I14" s="9" t="n">
        <f aca="false">IF(COUNT(B14:H14)=0,"",SUM(B14:H14))</f>
        <v>143405.14</v>
      </c>
      <c r="J14" s="10" t="n">
        <v>143405.14</v>
      </c>
      <c r="K14" s="11" t="n">
        <f aca="false">IF(I14="","",I14-J14)</f>
        <v>0</v>
      </c>
      <c r="L14" s="12" t="n">
        <f aca="false">IF($I14="","",B14/$I14)</f>
        <v>0.853598134627532</v>
      </c>
      <c r="M14" s="12" t="n">
        <f aca="false">IF($I14="","",C14/$I14)</f>
        <v>0.059357356368119</v>
      </c>
      <c r="N14" s="12" t="n">
        <f aca="false">IF($I14="","",(D14+E14)/$I14)</f>
        <v>0.0564144353542697</v>
      </c>
      <c r="O14" s="12" t="n">
        <f aca="false">IF($I14="","",F14/$I14)</f>
        <v>0.0220578565036093</v>
      </c>
      <c r="P14" s="12" t="n">
        <f aca="false">IF($I14="","",G14/$I14)</f>
        <v>0.00857012517124561</v>
      </c>
      <c r="Q14" s="12" t="n">
        <f aca="false">IF($I14="","",(B14+C14+G14)/$I14)</f>
        <v>0.921525616166896</v>
      </c>
      <c r="R14" s="12" t="n">
        <f aca="false">IF(Q14="","",1-Q14)</f>
        <v>0.0784743838331037</v>
      </c>
      <c r="S14" s="13" t="s">
        <v>54</v>
      </c>
    </row>
    <row r="16" customFormat="false" ht="15" hidden="false" customHeight="false" outlineLevel="0" collapsed="false">
      <c r="A16" s="5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7" min="1" style="0" width="15"/>
    <col collapsed="false" customWidth="true" hidden="false" outlineLevel="0" max="18" min="18" style="0" width="52"/>
  </cols>
  <sheetData>
    <row r="1" customFormat="false" ht="16.15" hidden="false" customHeight="false" outlineLevel="0" collapsed="false">
      <c r="A1" s="4" t="s">
        <v>56</v>
      </c>
    </row>
    <row r="2" customFormat="false" ht="15" hidden="false" customHeight="false" outlineLevel="0" collapsed="false">
      <c r="A2" s="5" t="s">
        <v>57</v>
      </c>
    </row>
    <row r="4" customFormat="false" ht="43.5" hidden="false" customHeight="true" outlineLevel="0" collapsed="false">
      <c r="A4" s="6" t="s">
        <v>16</v>
      </c>
      <c r="B4" s="6" t="s">
        <v>58</v>
      </c>
      <c r="C4" s="6" t="s">
        <v>59</v>
      </c>
      <c r="D4" s="6" t="s">
        <v>60</v>
      </c>
      <c r="E4" s="6" t="s">
        <v>61</v>
      </c>
      <c r="F4" s="6" t="s">
        <v>62</v>
      </c>
      <c r="G4" s="6" t="s">
        <v>63</v>
      </c>
      <c r="H4" s="6" t="s">
        <v>64</v>
      </c>
      <c r="I4" s="6" t="s">
        <v>65</v>
      </c>
      <c r="J4" s="6" t="s">
        <v>66</v>
      </c>
      <c r="K4" s="6" t="s">
        <v>67</v>
      </c>
      <c r="L4" s="6" t="s">
        <v>68</v>
      </c>
      <c r="M4" s="6" t="s">
        <v>69</v>
      </c>
      <c r="N4" s="6" t="s">
        <v>70</v>
      </c>
      <c r="O4" s="6" t="s">
        <v>71</v>
      </c>
      <c r="P4" s="6" t="s">
        <v>72</v>
      </c>
      <c r="Q4" s="6" t="s">
        <v>73</v>
      </c>
      <c r="R4" s="6" t="s">
        <v>74</v>
      </c>
    </row>
    <row r="5" customFormat="false" ht="15" hidden="false" customHeight="false" outlineLevel="0" collapsed="false">
      <c r="A5" s="7" t="s">
        <v>35</v>
      </c>
      <c r="B5" s="14" t="n">
        <v>60196</v>
      </c>
      <c r="C5" s="15" t="s">
        <v>75</v>
      </c>
      <c r="D5" s="15" t="n">
        <v>5</v>
      </c>
      <c r="E5" s="15" t="s">
        <v>76</v>
      </c>
      <c r="F5" s="16" t="n">
        <v>0.650076417037677</v>
      </c>
      <c r="G5" s="16" t="n">
        <v>0.218968037743372</v>
      </c>
      <c r="H5" s="16" t="n">
        <v>0.130955545218951</v>
      </c>
      <c r="I5" s="12" t="n">
        <f aca="false">SUM(F5:H5)</f>
        <v>1</v>
      </c>
      <c r="J5" s="16" t="n">
        <v>0.130955545218951</v>
      </c>
      <c r="K5" s="16" t="n">
        <v>0.869044454781049</v>
      </c>
      <c r="L5" s="12" t="n">
        <f aca="false">J5+K5</f>
        <v>1</v>
      </c>
      <c r="M5" s="17" t="n">
        <f aca="false">$B5*F5</f>
        <v>39132</v>
      </c>
      <c r="N5" s="17" t="n">
        <f aca="false">$B5*G5</f>
        <v>13181</v>
      </c>
      <c r="O5" s="17" t="n">
        <f aca="false">$B5*H5</f>
        <v>7883</v>
      </c>
      <c r="P5" s="17" t="n">
        <f aca="false">$B5*J5</f>
        <v>7883</v>
      </c>
      <c r="Q5" s="17" t="n">
        <f aca="false">$B5*K5</f>
        <v>52313</v>
      </c>
      <c r="R5" s="13" t="s">
        <v>77</v>
      </c>
    </row>
    <row r="6" customFormat="false" ht="15" hidden="false" customHeight="false" outlineLevel="0" collapsed="false">
      <c r="A6" s="7" t="s">
        <v>37</v>
      </c>
      <c r="B6" s="14" t="n">
        <v>82422</v>
      </c>
      <c r="C6" s="15" t="s">
        <v>75</v>
      </c>
      <c r="D6" s="15" t="n">
        <v>5</v>
      </c>
      <c r="E6" s="15" t="s">
        <v>76</v>
      </c>
      <c r="F6" s="16" t="n">
        <v>0.657801101948044</v>
      </c>
      <c r="G6" s="16" t="n">
        <v>0.194935323027858</v>
      </c>
      <c r="H6" s="16" t="n">
        <v>0.147263575024098</v>
      </c>
      <c r="I6" s="12" t="n">
        <f aca="false">SUM(F6:H6)</f>
        <v>1</v>
      </c>
      <c r="J6" s="16" t="n">
        <v>0.147263575024098</v>
      </c>
      <c r="K6" s="16" t="n">
        <v>0.852736424975902</v>
      </c>
      <c r="L6" s="12" t="n">
        <f aca="false">J6+K6</f>
        <v>1</v>
      </c>
      <c r="M6" s="17" t="n">
        <f aca="false">$B6*F6</f>
        <v>54217.2824247617</v>
      </c>
      <c r="N6" s="17" t="n">
        <f aca="false">$B6*G6</f>
        <v>16066.9591946021</v>
      </c>
      <c r="O6" s="17" t="n">
        <f aca="false">$B6*H6</f>
        <v>12137.7583806362</v>
      </c>
      <c r="P6" s="17" t="n">
        <f aca="false">$B6*J6</f>
        <v>12137.7583806362</v>
      </c>
      <c r="Q6" s="17" t="n">
        <f aca="false">$B6*K6</f>
        <v>70284.2416193638</v>
      </c>
      <c r="R6" s="13" t="s">
        <v>77</v>
      </c>
    </row>
    <row r="7" customFormat="false" ht="15" hidden="false" customHeight="false" outlineLevel="0" collapsed="false">
      <c r="A7" s="7" t="s">
        <v>39</v>
      </c>
      <c r="B7" s="14" t="n">
        <v>115888</v>
      </c>
      <c r="C7" s="15" t="s">
        <v>78</v>
      </c>
      <c r="D7" s="15" t="n">
        <v>10</v>
      </c>
      <c r="E7" s="15" t="s">
        <v>79</v>
      </c>
      <c r="F7" s="16" t="n">
        <v>0.479670026232224</v>
      </c>
      <c r="G7" s="16" t="n">
        <v>0.124283791246721</v>
      </c>
      <c r="H7" s="16" t="n">
        <v>0.396046182521055</v>
      </c>
      <c r="I7" s="12" t="n">
        <f aca="false">SUM(F7:H7)</f>
        <v>1</v>
      </c>
      <c r="J7" s="16" t="n">
        <v>0.479972041971559</v>
      </c>
      <c r="K7" s="16" t="n">
        <v>0.520027958028441</v>
      </c>
      <c r="L7" s="12" t="n">
        <f aca="false">J7+K7</f>
        <v>1</v>
      </c>
      <c r="M7" s="17" t="n">
        <f aca="false">$B7*F7</f>
        <v>55588</v>
      </c>
      <c r="N7" s="17" t="n">
        <f aca="false">$B7*G7</f>
        <v>14403</v>
      </c>
      <c r="O7" s="17" t="n">
        <f aca="false">$B7*H7</f>
        <v>45897</v>
      </c>
      <c r="P7" s="17" t="n">
        <f aca="false">$B7*J7</f>
        <v>55623</v>
      </c>
      <c r="Q7" s="17" t="n">
        <f aca="false">$B7*K7</f>
        <v>60265</v>
      </c>
      <c r="R7" s="13"/>
    </row>
    <row r="8" customFormat="false" ht="15" hidden="false" customHeight="false" outlineLevel="0" collapsed="false">
      <c r="A8" s="7" t="s">
        <v>41</v>
      </c>
      <c r="B8" s="14" t="n">
        <v>147153</v>
      </c>
      <c r="C8" s="15" t="s">
        <v>78</v>
      </c>
      <c r="D8" s="15" t="n">
        <v>10</v>
      </c>
      <c r="E8" s="15" t="s">
        <v>79</v>
      </c>
      <c r="F8" s="16" t="n">
        <v>0.505793289977099</v>
      </c>
      <c r="G8" s="16" t="n">
        <v>0.104150102274503</v>
      </c>
      <c r="H8" s="16" t="n">
        <v>0.390056607748398</v>
      </c>
      <c r="I8" s="12" t="n">
        <f aca="false">SUM(F8:H8)</f>
        <v>1</v>
      </c>
      <c r="J8" s="16" t="n">
        <v>0.478977662704804</v>
      </c>
      <c r="K8" s="16" t="n">
        <v>0.521022337295196</v>
      </c>
      <c r="L8" s="12" t="n">
        <f aca="false">J8+K8</f>
        <v>1</v>
      </c>
      <c r="M8" s="17" t="n">
        <f aca="false">$B8*F8</f>
        <v>74429</v>
      </c>
      <c r="N8" s="17" t="n">
        <f aca="false">$B8*G8</f>
        <v>15326</v>
      </c>
      <c r="O8" s="17" t="n">
        <f aca="false">$B8*H8</f>
        <v>57398</v>
      </c>
      <c r="P8" s="17" t="n">
        <f aca="false">$B8*J8</f>
        <v>70483</v>
      </c>
      <c r="Q8" s="17" t="n">
        <f aca="false">$B8*K8</f>
        <v>76670</v>
      </c>
      <c r="R8" s="13"/>
    </row>
    <row r="9" customFormat="false" ht="15" hidden="false" customHeight="false" outlineLevel="0" collapsed="false">
      <c r="A9" s="7" t="s">
        <v>43</v>
      </c>
      <c r="B9" s="14" t="n">
        <v>152947</v>
      </c>
      <c r="C9" s="15" t="s">
        <v>78</v>
      </c>
      <c r="D9" s="15" t="n">
        <v>10</v>
      </c>
      <c r="E9" s="15" t="s">
        <v>79</v>
      </c>
      <c r="F9" s="16" t="n">
        <v>0.487750658724918</v>
      </c>
      <c r="G9" s="16" t="n">
        <v>0.0942091051148437</v>
      </c>
      <c r="H9" s="16" t="n">
        <v>0.418040236160239</v>
      </c>
      <c r="I9" s="12" t="n">
        <f aca="false">SUM(F9:H9)</f>
        <v>1</v>
      </c>
      <c r="J9" s="16" t="n">
        <v>0.497224528758328</v>
      </c>
      <c r="K9" s="16" t="n">
        <v>0.502775471241672</v>
      </c>
      <c r="L9" s="12" t="n">
        <f aca="false">J9+K9</f>
        <v>1</v>
      </c>
      <c r="M9" s="17" t="n">
        <f aca="false">$B9*F9</f>
        <v>74600</v>
      </c>
      <c r="N9" s="17" t="n">
        <f aca="false">$B9*G9</f>
        <v>14409</v>
      </c>
      <c r="O9" s="17" t="n">
        <f aca="false">$B9*H9</f>
        <v>63938</v>
      </c>
      <c r="P9" s="17" t="n">
        <f aca="false">$B9*J9</f>
        <v>76049</v>
      </c>
      <c r="Q9" s="17" t="n">
        <f aca="false">$B9*K9</f>
        <v>76898</v>
      </c>
      <c r="R9" s="13"/>
    </row>
    <row r="10" customFormat="false" ht="15" hidden="false" customHeight="false" outlineLevel="0" collapsed="false">
      <c r="A10" s="7" t="s">
        <v>45</v>
      </c>
      <c r="B10" s="14" t="n">
        <v>197452</v>
      </c>
      <c r="C10" s="15" t="s">
        <v>78</v>
      </c>
      <c r="D10" s="15" t="n">
        <v>10</v>
      </c>
      <c r="E10" s="15" t="s">
        <v>79</v>
      </c>
      <c r="F10" s="16" t="n">
        <v>0.451988331341288</v>
      </c>
      <c r="G10" s="16" t="n">
        <v>0.0967627575309443</v>
      </c>
      <c r="H10" s="16" t="n">
        <v>0.451248911127768</v>
      </c>
      <c r="I10" s="12" t="n">
        <f aca="false">SUM(F10:H10)</f>
        <v>1</v>
      </c>
      <c r="J10" s="16" t="n">
        <v>0.502876648501914</v>
      </c>
      <c r="K10" s="16" t="n">
        <v>0.497123351498086</v>
      </c>
      <c r="L10" s="12" t="n">
        <f aca="false">J10+K10</f>
        <v>1</v>
      </c>
      <c r="M10" s="17" t="n">
        <f aca="false">$B10*F10</f>
        <v>89246</v>
      </c>
      <c r="N10" s="17" t="n">
        <f aca="false">$B10*G10</f>
        <v>19106</v>
      </c>
      <c r="O10" s="17" t="n">
        <f aca="false">$B10*H10</f>
        <v>89100</v>
      </c>
      <c r="P10" s="17" t="n">
        <f aca="false">$B10*J10</f>
        <v>99294</v>
      </c>
      <c r="Q10" s="17" t="n">
        <f aca="false">$B10*K10</f>
        <v>98158</v>
      </c>
      <c r="R10" s="13"/>
    </row>
    <row r="11" customFormat="false" ht="15" hidden="false" customHeight="false" outlineLevel="0" collapsed="false">
      <c r="A11" s="7" t="s">
        <v>47</v>
      </c>
      <c r="B11" s="14" t="n">
        <v>247379</v>
      </c>
      <c r="C11" s="15" t="s">
        <v>80</v>
      </c>
      <c r="D11" s="15" t="n">
        <v>11</v>
      </c>
      <c r="E11" s="15" t="s">
        <v>79</v>
      </c>
      <c r="F11" s="16" t="n">
        <v>0.447677450389888</v>
      </c>
      <c r="G11" s="16" t="n">
        <v>0.101839687281459</v>
      </c>
      <c r="H11" s="16" t="n">
        <v>0.450482862328654</v>
      </c>
      <c r="I11" s="12" t="n">
        <f aca="false">SUM(F11:H11)</f>
        <v>1</v>
      </c>
      <c r="J11" s="16" t="n">
        <v>0.514118013250923</v>
      </c>
      <c r="K11" s="16" t="n">
        <v>0.485881986749077</v>
      </c>
      <c r="L11" s="12" t="n">
        <f aca="false">J11+K11</f>
        <v>1</v>
      </c>
      <c r="M11" s="17" t="n">
        <f aca="false">$B11*F11</f>
        <v>110746</v>
      </c>
      <c r="N11" s="17" t="n">
        <f aca="false">$B11*G11</f>
        <v>25193</v>
      </c>
      <c r="O11" s="17" t="n">
        <f aca="false">$B11*H11</f>
        <v>111440</v>
      </c>
      <c r="P11" s="17" t="n">
        <f aca="false">$B11*J11</f>
        <v>127182</v>
      </c>
      <c r="Q11" s="17" t="n">
        <f aca="false">$B11*K11</f>
        <v>120197</v>
      </c>
      <c r="R11" s="13"/>
    </row>
    <row r="12" customFormat="false" ht="15" hidden="false" customHeight="false" outlineLevel="0" collapsed="false">
      <c r="A12" s="7" t="s">
        <v>49</v>
      </c>
      <c r="B12" s="14" t="n">
        <v>330615</v>
      </c>
      <c r="C12" s="15" t="s">
        <v>80</v>
      </c>
      <c r="D12" s="15" t="n">
        <v>11</v>
      </c>
      <c r="E12" s="15" t="s">
        <v>79</v>
      </c>
      <c r="F12" s="16" t="n">
        <v>0.429236423029808</v>
      </c>
      <c r="G12" s="16" t="n">
        <v>0.111138333106483</v>
      </c>
      <c r="H12" s="16" t="n">
        <v>0.459625243863709</v>
      </c>
      <c r="I12" s="12" t="n">
        <f aca="false">SUM(F12:H12)</f>
        <v>1</v>
      </c>
      <c r="J12" s="16" t="n">
        <v>0.540774012068418</v>
      </c>
      <c r="K12" s="16" t="n">
        <v>0.459225987931582</v>
      </c>
      <c r="L12" s="12" t="n">
        <f aca="false">J12+K12</f>
        <v>1</v>
      </c>
      <c r="M12" s="17" t="n">
        <f aca="false">$B12*F12</f>
        <v>141912</v>
      </c>
      <c r="N12" s="17" t="n">
        <f aca="false">$B12*G12</f>
        <v>36744</v>
      </c>
      <c r="O12" s="17" t="n">
        <f aca="false">$B12*H12</f>
        <v>151959</v>
      </c>
      <c r="P12" s="17" t="n">
        <f aca="false">$B12*J12</f>
        <v>178788</v>
      </c>
      <c r="Q12" s="17" t="n">
        <f aca="false">$B12*K12</f>
        <v>151827</v>
      </c>
      <c r="R12" s="13"/>
    </row>
    <row r="13" customFormat="false" ht="15" hidden="false" customHeight="false" outlineLevel="0" collapsed="false">
      <c r="A13" s="7" t="s">
        <v>51</v>
      </c>
      <c r="B13" s="14" t="n">
        <v>416661</v>
      </c>
      <c r="C13" s="15" t="s">
        <v>81</v>
      </c>
      <c r="D13" s="15" t="n">
        <v>14</v>
      </c>
      <c r="E13" s="15" t="s">
        <v>79</v>
      </c>
      <c r="F13" s="16" t="n">
        <v>0.404530301612102</v>
      </c>
      <c r="G13" s="16" t="n">
        <v>0.137291467163953</v>
      </c>
      <c r="H13" s="16" t="n">
        <v>0.458178231223945</v>
      </c>
      <c r="I13" s="12" t="n">
        <f aca="false">SUM(F13:H13)</f>
        <v>1</v>
      </c>
      <c r="J13" s="16" t="n">
        <v>0.532200037920516</v>
      </c>
      <c r="K13" s="16" t="n">
        <v>0.467799962079484</v>
      </c>
      <c r="L13" s="12" t="n">
        <f aca="false">J13+K13</f>
        <v>1</v>
      </c>
      <c r="M13" s="17" t="n">
        <f aca="false">$B13*F13</f>
        <v>168552</v>
      </c>
      <c r="N13" s="17" t="n">
        <f aca="false">$B13*G13</f>
        <v>57204</v>
      </c>
      <c r="O13" s="17" t="n">
        <f aca="false">$B13*H13</f>
        <v>190905</v>
      </c>
      <c r="P13" s="17" t="n">
        <f aca="false">$B13*J13</f>
        <v>221747</v>
      </c>
      <c r="Q13" s="17" t="n">
        <f aca="false">$B13*K13</f>
        <v>194914</v>
      </c>
      <c r="R13" s="13"/>
    </row>
    <row r="14" customFormat="false" ht="15" hidden="false" customHeight="false" outlineLevel="0" collapsed="false">
      <c r="A14" s="7" t="s">
        <v>53</v>
      </c>
      <c r="B14" s="14" t="n">
        <v>509975</v>
      </c>
      <c r="C14" s="15" t="s">
        <v>81</v>
      </c>
      <c r="D14" s="15" t="n">
        <v>14</v>
      </c>
      <c r="E14" s="15" t="s">
        <v>79</v>
      </c>
      <c r="F14" s="16" t="n">
        <v>0.36820432374136</v>
      </c>
      <c r="G14" s="16" t="n">
        <v>0.147469974018334</v>
      </c>
      <c r="H14" s="16" t="n">
        <v>0.484325702240306</v>
      </c>
      <c r="I14" s="12" t="n">
        <f aca="false">SUM(F14:H14)</f>
        <v>1</v>
      </c>
      <c r="J14" s="16" t="n">
        <v>0.546103240354919</v>
      </c>
      <c r="K14" s="16" t="n">
        <v>0.453896759645081</v>
      </c>
      <c r="L14" s="12" t="n">
        <f aca="false">J14+K14</f>
        <v>1</v>
      </c>
      <c r="M14" s="17" t="n">
        <f aca="false">$B14*F14</f>
        <v>187775</v>
      </c>
      <c r="N14" s="17" t="n">
        <f aca="false">$B14*G14</f>
        <v>75206</v>
      </c>
      <c r="O14" s="17" t="n">
        <f aca="false">$B14*H14</f>
        <v>246994</v>
      </c>
      <c r="P14" s="17" t="n">
        <f aca="false">$B14*J14</f>
        <v>278499</v>
      </c>
      <c r="Q14" s="17" t="n">
        <f aca="false">$B14*K14</f>
        <v>231476</v>
      </c>
      <c r="R14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90"/>
  </cols>
  <sheetData>
    <row r="1" customFormat="false" ht="16.15" hidden="false" customHeight="false" outlineLevel="0" collapsed="false">
      <c r="A1" s="4" t="s">
        <v>82</v>
      </c>
    </row>
    <row r="3" customFormat="false" ht="43.5" hidden="false" customHeight="true" outlineLevel="0" collapsed="false">
      <c r="A3" s="6" t="s">
        <v>83</v>
      </c>
      <c r="B3" s="6" t="s">
        <v>84</v>
      </c>
      <c r="C3" s="6" t="s">
        <v>85</v>
      </c>
      <c r="D3" s="6" t="s">
        <v>86</v>
      </c>
    </row>
    <row r="4" customFormat="false" ht="15" hidden="false" customHeight="false" outlineLevel="0" collapsed="false">
      <c r="A4" s="15" t="s">
        <v>17</v>
      </c>
      <c r="B4" s="15" t="s">
        <v>87</v>
      </c>
      <c r="C4" s="15" t="s">
        <v>88</v>
      </c>
      <c r="D4" s="15" t="s">
        <v>89</v>
      </c>
    </row>
    <row r="5" customFormat="false" ht="15" hidden="false" customHeight="false" outlineLevel="0" collapsed="false">
      <c r="A5" s="15" t="s">
        <v>18</v>
      </c>
      <c r="B5" s="15" t="s">
        <v>90</v>
      </c>
      <c r="C5" s="15" t="s">
        <v>91</v>
      </c>
      <c r="D5" s="15" t="s">
        <v>92</v>
      </c>
    </row>
    <row r="6" customFormat="false" ht="15" hidden="false" customHeight="false" outlineLevel="0" collapsed="false">
      <c r="A6" s="15" t="s">
        <v>93</v>
      </c>
      <c r="B6" s="15" t="s">
        <v>94</v>
      </c>
      <c r="C6" s="15" t="s">
        <v>91</v>
      </c>
      <c r="D6" s="15" t="s">
        <v>95</v>
      </c>
    </row>
    <row r="7" customFormat="false" ht="15" hidden="false" customHeight="false" outlineLevel="0" collapsed="false">
      <c r="A7" s="15" t="s">
        <v>21</v>
      </c>
      <c r="B7" s="15" t="s">
        <v>96</v>
      </c>
      <c r="C7" s="15" t="s">
        <v>97</v>
      </c>
      <c r="D7" s="15" t="s">
        <v>98</v>
      </c>
    </row>
    <row r="8" customFormat="false" ht="15" hidden="false" customHeight="false" outlineLevel="0" collapsed="false">
      <c r="A8" s="15" t="s">
        <v>22</v>
      </c>
      <c r="B8" s="15" t="s">
        <v>99</v>
      </c>
      <c r="C8" s="15" t="s">
        <v>100</v>
      </c>
      <c r="D8" s="15" t="s">
        <v>101</v>
      </c>
    </row>
    <row r="10" customFormat="false" ht="15" hidden="false" customHeight="false" outlineLevel="0" collapsed="false">
      <c r="A10" s="5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24"/>
  </cols>
  <sheetData>
    <row r="1" customFormat="false" ht="16.15" hidden="false" customHeight="false" outlineLevel="0" collapsed="false">
      <c r="A1" s="4" t="s">
        <v>103</v>
      </c>
    </row>
    <row r="3" customFormat="false" ht="43.5" hidden="false" customHeight="true" outlineLevel="0" collapsed="false">
      <c r="A3" s="6" t="s">
        <v>16</v>
      </c>
      <c r="B3" s="6" t="s">
        <v>104</v>
      </c>
      <c r="C3" s="6" t="s">
        <v>105</v>
      </c>
      <c r="D3" s="6" t="s">
        <v>106</v>
      </c>
    </row>
    <row r="4" customFormat="false" ht="15" hidden="false" customHeight="false" outlineLevel="0" collapsed="false">
      <c r="A4" s="7" t="s">
        <v>35</v>
      </c>
      <c r="B4" s="18" t="str">
        <f aca="false">IF(Bajaj_Segments!E5="Yes",Bajaj_Segments!J5,"")</f>
        <v/>
      </c>
      <c r="C4" s="18" t="str">
        <f aca="false">Mahindra_Product_Mix!Q5</f>
        <v/>
      </c>
      <c r="D4" s="12" t="str">
        <f aca="false">IF(OR(B4="",C4=""),"",C4-B4)</f>
        <v/>
      </c>
    </row>
    <row r="5" customFormat="false" ht="15" hidden="false" customHeight="false" outlineLevel="0" collapsed="false">
      <c r="A5" s="7" t="s">
        <v>37</v>
      </c>
      <c r="B5" s="18" t="str">
        <f aca="false">IF(Bajaj_Segments!E6="Yes",Bajaj_Segments!J6,"")</f>
        <v/>
      </c>
      <c r="C5" s="18" t="n">
        <f aca="false">Mahindra_Product_Mix!Q6</f>
        <v>0.94206114483685</v>
      </c>
      <c r="D5" s="12" t="str">
        <f aca="false">IF(OR(B5="",C5=""),"",C5-B5)</f>
        <v/>
      </c>
    </row>
    <row r="6" customFormat="false" ht="15" hidden="false" customHeight="false" outlineLevel="0" collapsed="false">
      <c r="A6" s="7" t="s">
        <v>39</v>
      </c>
      <c r="B6" s="18" t="n">
        <f aca="false">IF(Bajaj_Segments!E7="Yes",Bajaj_Segments!J7,"")</f>
        <v>0.479972041971559</v>
      </c>
      <c r="C6" s="18" t="n">
        <f aca="false">Mahindra_Product_Mix!Q7</f>
        <v>0.938572006532181</v>
      </c>
      <c r="D6" s="12" t="n">
        <f aca="false">IF(OR(B6="",C6=""),"",C6-B6)</f>
        <v>0.458599964560622</v>
      </c>
    </row>
    <row r="7" customFormat="false" ht="15" hidden="false" customHeight="false" outlineLevel="0" collapsed="false">
      <c r="A7" s="7" t="s">
        <v>41</v>
      </c>
      <c r="B7" s="18" t="n">
        <f aca="false">IF(Bajaj_Segments!E8="Yes",Bajaj_Segments!J8,"")</f>
        <v>0.478977662704804</v>
      </c>
      <c r="C7" s="18" t="n">
        <f aca="false">Mahindra_Product_Mix!Q8</f>
        <v>0.9524747152129</v>
      </c>
      <c r="D7" s="12" t="n">
        <f aca="false">IF(OR(B7="",C7=""),"",C7-B7)</f>
        <v>0.473497052508097</v>
      </c>
    </row>
    <row r="8" customFormat="false" ht="15" hidden="false" customHeight="false" outlineLevel="0" collapsed="false">
      <c r="A8" s="7" t="s">
        <v>43</v>
      </c>
      <c r="B8" s="18" t="n">
        <f aca="false">IF(Bajaj_Segments!E9="Yes",Bajaj_Segments!J9,"")</f>
        <v>0.497224528758328</v>
      </c>
      <c r="C8" s="18" t="n">
        <f aca="false">Mahindra_Product_Mix!Q9</f>
        <v>0.95910828372871</v>
      </c>
      <c r="D8" s="12" t="n">
        <f aca="false">IF(OR(B8="",C8=""),"",C8-B8)</f>
        <v>0.461883754970382</v>
      </c>
    </row>
    <row r="9" customFormat="false" ht="15" hidden="false" customHeight="false" outlineLevel="0" collapsed="false">
      <c r="A9" s="7" t="s">
        <v>45</v>
      </c>
      <c r="B9" s="18" t="n">
        <f aca="false">IF(Bajaj_Segments!E10="Yes",Bajaj_Segments!J10,"")</f>
        <v>0.502876648501914</v>
      </c>
      <c r="C9" s="18" t="n">
        <f aca="false">Mahindra_Product_Mix!Q10</f>
        <v>0.945724334272235</v>
      </c>
      <c r="D9" s="12" t="n">
        <f aca="false">IF(OR(B9="",C9=""),"",C9-B9)</f>
        <v>0.44284768577032</v>
      </c>
    </row>
    <row r="10" customFormat="false" ht="15" hidden="false" customHeight="false" outlineLevel="0" collapsed="false">
      <c r="A10" s="7" t="s">
        <v>47</v>
      </c>
      <c r="B10" s="18" t="n">
        <f aca="false">IF(Bajaj_Segments!E11="Yes",Bajaj_Segments!J11,"")</f>
        <v>0.514118013250923</v>
      </c>
      <c r="C10" s="18" t="n">
        <f aca="false">Mahindra_Product_Mix!Q11</f>
        <v>0.922344131359111</v>
      </c>
      <c r="D10" s="12" t="n">
        <f aca="false">IF(OR(B10="",C10=""),"",C10-B10)</f>
        <v>0.408226118108189</v>
      </c>
    </row>
    <row r="11" customFormat="false" ht="15" hidden="false" customHeight="false" outlineLevel="0" collapsed="false">
      <c r="A11" s="7" t="s">
        <v>49</v>
      </c>
      <c r="B11" s="18" t="n">
        <f aca="false">IF(Bajaj_Segments!E12="Yes",Bajaj_Segments!J12,"")</f>
        <v>0.540774012068418</v>
      </c>
      <c r="C11" s="18" t="n">
        <f aca="false">Mahindra_Product_Mix!Q12</f>
        <v>0.930092863656913</v>
      </c>
      <c r="D11" s="12" t="n">
        <f aca="false">IF(OR(B11="",C11=""),"",C11-B11)</f>
        <v>0.389318851588495</v>
      </c>
    </row>
    <row r="12" customFormat="false" ht="15" hidden="false" customHeight="false" outlineLevel="0" collapsed="false">
      <c r="A12" s="7" t="s">
        <v>51</v>
      </c>
      <c r="B12" s="18" t="n">
        <f aca="false">IF(Bajaj_Segments!E13="Yes",Bajaj_Segments!J13,"")</f>
        <v>0.532200037920516</v>
      </c>
      <c r="C12" s="18" t="n">
        <f aca="false">Mahindra_Product_Mix!Q13</f>
        <v>0.926734802949578</v>
      </c>
      <c r="D12" s="12" t="n">
        <f aca="false">IF(OR(B12="",C12=""),"",C12-B12)</f>
        <v>0.394534765029063</v>
      </c>
    </row>
    <row r="13" customFormat="false" ht="15" hidden="false" customHeight="false" outlineLevel="0" collapsed="false">
      <c r="A13" s="7" t="s">
        <v>53</v>
      </c>
      <c r="B13" s="18" t="n">
        <f aca="false">IF(Bajaj_Segments!E14="Yes",Bajaj_Segments!J14,"")</f>
        <v>0.546103240354919</v>
      </c>
      <c r="C13" s="18" t="n">
        <f aca="false">Mahindra_Product_Mix!Q14</f>
        <v>0.921525616166896</v>
      </c>
      <c r="D13" s="12" t="n">
        <f aca="false">IF(OR(B13="",C13=""),"",C13-B13)</f>
        <v>0.375422375811977</v>
      </c>
    </row>
    <row r="15" customFormat="false" ht="15" hidden="false" customHeight="false" outlineLevel="0" collapsed="false">
      <c r="A15" s="5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2026-10-19T10:21:00Z</dcterms:created>
  <dc:creator>openpyxl</dc:creator>
  <dc:description/>
  <dc:language>en-US</dc:language>
  <cp:lastModifiedBy/>
  <dcterms:modified xsi:type="dcterms:W3CDTF">2026-10-19T10:21:00Z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